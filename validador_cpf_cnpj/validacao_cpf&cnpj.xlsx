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natyg\Downloads\"/>
    </mc:Choice>
  </mc:AlternateContent>
  <xr:revisionPtr revIDLastSave="8" documentId="8_{4311E2FC-53BF-4DC7-98D7-755481B8164B}" xr6:coauthVersionLast="47" xr6:coauthVersionMax="47" xr10:uidLastSave="{7EC95B0E-9B4A-4A7B-B5DE-4D570310F3EE}"/>
  <bookViews>
    <workbookView xWindow="-108" yWindow="-108" windowWidth="23256" windowHeight="13176" xr2:uid="{7F2247C9-D65D-4A2A-995D-F675138FD25B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2" l="1"/>
  <c r="N3" i="2"/>
  <c r="B2" i="2"/>
  <c r="C2" i="2"/>
  <c r="N20" i="2"/>
  <c r="N22" i="2" s="1"/>
  <c r="M20" i="2"/>
  <c r="M22" i="2" s="1"/>
  <c r="L20" i="2"/>
  <c r="L22" i="2" s="1"/>
  <c r="K20" i="2"/>
  <c r="K22" i="2" s="1"/>
  <c r="J20" i="2"/>
  <c r="J22" i="2" s="1"/>
  <c r="I20" i="2"/>
  <c r="I22" i="2" s="1"/>
  <c r="H20" i="2"/>
  <c r="H22" i="2" s="1"/>
  <c r="G20" i="2"/>
  <c r="G22" i="2" s="1"/>
  <c r="F20" i="2"/>
  <c r="F22" i="2" s="1"/>
  <c r="E20" i="2"/>
  <c r="E22" i="2" s="1"/>
  <c r="D20" i="2"/>
  <c r="D22" i="2" s="1"/>
  <c r="C20" i="2"/>
  <c r="C22" i="2" s="1"/>
  <c r="B20" i="2"/>
  <c r="B22" i="2" s="1"/>
  <c r="H17" i="2"/>
  <c r="B15" i="2"/>
  <c r="B17" i="2" s="1"/>
  <c r="K8" i="2"/>
  <c r="K10" i="2" s="1"/>
  <c r="J8" i="2"/>
  <c r="J10" i="2" s="1"/>
  <c r="I8" i="2"/>
  <c r="I10" i="2" s="1"/>
  <c r="H8" i="2"/>
  <c r="H10" i="2" s="1"/>
  <c r="G8" i="2"/>
  <c r="G10" i="2" s="1"/>
  <c r="F8" i="2"/>
  <c r="F10" i="2" s="1"/>
  <c r="E8" i="2"/>
  <c r="E10" i="2" s="1"/>
  <c r="D8" i="2"/>
  <c r="D10" i="2" s="1"/>
  <c r="C8" i="2"/>
  <c r="C10" i="2" s="1"/>
  <c r="B8" i="2"/>
  <c r="B10" i="2" s="1"/>
  <c r="O3" i="2"/>
  <c r="E15" i="2"/>
  <c r="E17" i="2" s="1"/>
  <c r="D15" i="2"/>
  <c r="D17" i="2" s="1"/>
  <c r="M15" i="2"/>
  <c r="M17" i="2" s="1"/>
  <c r="C15" i="2"/>
  <c r="C17" i="2" s="1"/>
  <c r="F15" i="2"/>
  <c r="F17" i="2" s="1"/>
  <c r="G15" i="2"/>
  <c r="G17" i="2" s="1"/>
  <c r="H15" i="2"/>
  <c r="I15" i="2"/>
  <c r="I17" i="2" s="1"/>
  <c r="J15" i="2"/>
  <c r="J17" i="2" s="1"/>
  <c r="K15" i="2"/>
  <c r="K17" i="2" s="1"/>
  <c r="L15" i="2"/>
  <c r="L17" i="2" s="1"/>
  <c r="J2" i="2"/>
  <c r="J4" i="2" s="1"/>
  <c r="I2" i="2"/>
  <c r="I4" i="2" s="1"/>
  <c r="H2" i="2"/>
  <c r="H4" i="2" s="1"/>
  <c r="G2" i="2"/>
  <c r="G4" i="2" s="1"/>
  <c r="F2" i="2"/>
  <c r="F4" i="2" s="1"/>
  <c r="D2" i="2"/>
  <c r="D4" i="2" s="1"/>
  <c r="E2" i="2"/>
  <c r="E4" i="2" s="1"/>
  <c r="B4" i="2"/>
  <c r="N8" i="2" l="1"/>
  <c r="N9" i="2" s="1"/>
  <c r="N10" i="2" s="1"/>
  <c r="Q21" i="2"/>
  <c r="Q22" i="2" s="1"/>
  <c r="Q23" i="2" s="1"/>
  <c r="Q16" i="2"/>
  <c r="Q18" i="2" s="1"/>
  <c r="D4" i="1" s="1"/>
  <c r="C4" i="2"/>
  <c r="N2" i="2" l="1"/>
  <c r="N4" i="2" s="1"/>
  <c r="D3" i="1" s="1"/>
</calcChain>
</file>

<file path=xl/sharedStrings.xml><?xml version="1.0" encoding="utf-8"?>
<sst xmlns="http://schemas.openxmlformats.org/spreadsheetml/2006/main" count="36" uniqueCount="18">
  <si>
    <t>Valor</t>
  </si>
  <si>
    <t>CPF:</t>
  </si>
  <si>
    <t>CNPJ:</t>
  </si>
  <si>
    <t>40.432 544 0001-47</t>
  </si>
  <si>
    <t>Ana Carolina Lamann &amp; Adriel da Silva Alves</t>
  </si>
  <si>
    <t>Calculo CPF</t>
  </si>
  <si>
    <t>VERIFICADOR 1</t>
  </si>
  <si>
    <t>CPF</t>
  </si>
  <si>
    <t>SOMA</t>
  </si>
  <si>
    <t>Resto divisao</t>
  </si>
  <si>
    <t>Resultado</t>
  </si>
  <si>
    <t>Digito 1</t>
  </si>
  <si>
    <t>VERIFICADOR 2</t>
  </si>
  <si>
    <t>Digito 2</t>
  </si>
  <si>
    <t>Calculo CNPJ</t>
  </si>
  <si>
    <t>CNPJ</t>
  </si>
  <si>
    <t>Resto divisão</t>
  </si>
  <si>
    <t>Digito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</si>
</sst>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\.000\.000\-00"/>
    <numFmt numFmtId="165" formatCode="00&quot;.&quot;000&quot;.&quot;000&quot;/0000&quot;\-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0" borderId="1" xfId="0" applyBorder="1"/>
    <xf numFmtId="0" fontId="0" fillId="6" borderId="1" xfId="0" applyFill="1" applyBorder="1"/>
    <xf numFmtId="164" fontId="0" fillId="7" borderId="1" xfId="0" applyNumberFormat="1" applyFill="1" applyBorder="1"/>
    <xf numFmtId="165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78DA-097B-4793-BF9E-E9081051004B}">
  <dimension ref="A2:D10"/>
  <sheetViews>
    <sheetView tabSelected="1" workbookViewId="0">
      <selection activeCell="D3" sqref="D3"/>
    </sheetView>
  </sheetViews>
  <sheetFormatPr defaultRowHeight="14.45"/>
  <cols>
    <col min="1" max="1" width="16.28515625" bestFit="1" customWidth="1"/>
    <col min="2" max="2" width="17" bestFit="1" customWidth="1"/>
    <col min="3" max="3" width="18.140625" bestFit="1" customWidth="1"/>
    <col min="4" max="4" width="9.85546875" bestFit="1" customWidth="1"/>
  </cols>
  <sheetData>
    <row r="2" spans="1:4">
      <c r="D2" s="9" t="s">
        <v>0</v>
      </c>
    </row>
    <row r="3" spans="1:4">
      <c r="A3" s="18"/>
      <c r="B3" s="9" t="s">
        <v>1</v>
      </c>
      <c r="C3" s="10">
        <v>55621443870</v>
      </c>
      <c r="D3" s="8" t="str">
        <f>IF(CONCATENATE(Planilha2!N4,Planilha2!N10)=RIGHT(Planilha1!C3,2),"Verdadeiro","Falso")</f>
        <v>Verdadeiro</v>
      </c>
    </row>
    <row r="4" spans="1:4">
      <c r="A4" s="18"/>
      <c r="B4" s="9" t="s">
        <v>2</v>
      </c>
      <c r="C4" s="11" t="s">
        <v>3</v>
      </c>
      <c r="D4" s="8" t="str">
        <f>IF((TRIM(Planilha2!Q18) &amp; TRIM(Planilha2!Q23)) = TRIM(RIGHT(Planilha1!C4,2)), "Verdadeiro", "Falso")</f>
        <v>Verdadeiro</v>
      </c>
    </row>
    <row r="5" spans="1:4">
      <c r="A5" s="18"/>
    </row>
    <row r="6" spans="1:4">
      <c r="B6" s="19" t="s">
        <v>4</v>
      </c>
      <c r="C6" s="19"/>
      <c r="D6" s="19"/>
    </row>
    <row r="7" spans="1:4">
      <c r="A7" s="18"/>
    </row>
    <row r="8" spans="1:4">
      <c r="A8" s="18"/>
    </row>
    <row r="9" spans="1:4">
      <c r="A9" s="18"/>
    </row>
    <row r="10" spans="1:4">
      <c r="A10" s="18"/>
    </row>
  </sheetData>
  <mergeCells count="1">
    <mergeCell ref="B6:D6"/>
  </mergeCells>
  <conditionalFormatting sqref="D3">
    <cfRule type="expression" dxfId="4" priority="3">
      <formula>D3="Falso"</formula>
    </cfRule>
    <cfRule type="expression" dxfId="3" priority="5">
      <formula>D3="Verdadeiro"</formula>
    </cfRule>
  </conditionalFormatting>
  <conditionalFormatting sqref="D4">
    <cfRule type="expression" dxfId="2" priority="1">
      <formula>D4="Falso"</formula>
    </cfRule>
    <cfRule type="expression" dxfId="1" priority="2">
      <formula>D4="Verdadeiro"</formula>
    </cfRule>
    <cfRule type="expression" dxfId="0" priority="4">
      <formula>D3="Falso"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29F5-3BB4-4C95-AE53-249756A95B87}">
  <dimension ref="A1:Q26"/>
  <sheetViews>
    <sheetView zoomScale="85" zoomScaleNormal="85" workbookViewId="0">
      <selection activeCell="Q18" sqref="Q18"/>
    </sheetView>
  </sheetViews>
  <sheetFormatPr defaultRowHeight="14.45"/>
  <cols>
    <col min="1" max="1" width="12.140625" bestFit="1" customWidth="1"/>
    <col min="2" max="2" width="15.140625" bestFit="1" customWidth="1"/>
    <col min="12" max="12" width="12.140625" bestFit="1" customWidth="1"/>
    <col min="13" max="13" width="12.140625" customWidth="1"/>
    <col min="14" max="14" width="9.28515625" customWidth="1"/>
    <col min="15" max="16" width="12.140625" bestFit="1" customWidth="1"/>
  </cols>
  <sheetData>
    <row r="1" spans="1:17">
      <c r="A1" s="23" t="s">
        <v>5</v>
      </c>
      <c r="B1" s="23"/>
      <c r="C1" s="23"/>
      <c r="D1" s="23"/>
      <c r="E1" s="23"/>
      <c r="F1" s="23"/>
      <c r="G1" s="23"/>
      <c r="H1" s="23"/>
      <c r="I1" s="23"/>
      <c r="J1" s="23"/>
      <c r="M1" s="20" t="s">
        <v>6</v>
      </c>
      <c r="N1" s="20"/>
    </row>
    <row r="2" spans="1:17">
      <c r="A2" s="14" t="s">
        <v>7</v>
      </c>
      <c r="B2" s="12" t="str">
        <f>MID(SUBSTITUTE(SUBSTITUTE(SUBSTITUTE(SUBSTITUTE(Planilha1!C3,".",""),"-",""),"/","")," ",""),1,1)</f>
        <v>5</v>
      </c>
      <c r="C2" s="12" t="str">
        <f>MID(SUBSTITUTE(SUBSTITUTE(SUBSTITUTE(SUBSTITUTE(Planilha1!C3,".",""),"-",""),"/","")," ",""),2,1)</f>
        <v>5</v>
      </c>
      <c r="D2" s="13" t="str">
        <f>MID(SUBSTITUTE(SUBSTITUTE(SUBSTITUTE(SUBSTITUTE(Planilha1!C3,".",""),"-",""),"/","")," ",""),3,1)</f>
        <v>6</v>
      </c>
      <c r="E2" s="13" t="str">
        <f>MID(SUBSTITUTE(SUBSTITUTE(SUBSTITUTE(SUBSTITUTE(Planilha1!C3,".",""),"-",""),"/","")," ",""),4,1)</f>
        <v>2</v>
      </c>
      <c r="F2" s="12" t="str">
        <f>MID(SUBSTITUTE(SUBSTITUTE(SUBSTITUTE(SUBSTITUTE(Planilha1!C3,".",""),"-",""),"/","")," ",""),5,1)</f>
        <v>1</v>
      </c>
      <c r="G2" s="12" t="str">
        <f>MID(SUBSTITUTE(SUBSTITUTE(SUBSTITUTE(SUBSTITUTE(Planilha1!C3,".",""),"-",""),"/","")," ",""),6,1)</f>
        <v>4</v>
      </c>
      <c r="H2" s="12" t="str">
        <f>MID(SUBSTITUTE(SUBSTITUTE(SUBSTITUTE(SUBSTITUTE(Planilha1!C3,".",""),"-",""),"/","")," ",""),7,1)</f>
        <v>4</v>
      </c>
      <c r="I2" s="12" t="str">
        <f>MID(SUBSTITUTE(SUBSTITUTE(SUBSTITUTE(SUBSTITUTE(Planilha1!C3,".",""),"-",""),"/","")," ",""),8,1)</f>
        <v>3</v>
      </c>
      <c r="J2" s="12" t="str">
        <f>MID(SUBSTITUTE(SUBSTITUTE(SUBSTITUTE(SUBSTITUTE(Planilha1!C3,".",""),"-",""),"/","")," ",""),9,1)</f>
        <v>8</v>
      </c>
      <c r="M2" s="6" t="s">
        <v>8</v>
      </c>
      <c r="N2" s="5">
        <f>SUM(B4:J4)</f>
        <v>224</v>
      </c>
    </row>
    <row r="3" spans="1:17">
      <c r="A3" s="3" t="s">
        <v>5</v>
      </c>
      <c r="B3" s="2">
        <v>10</v>
      </c>
      <c r="C3" s="2">
        <v>9</v>
      </c>
      <c r="D3" s="2">
        <v>8</v>
      </c>
      <c r="E3" s="2">
        <v>7</v>
      </c>
      <c r="F3" s="2">
        <v>6</v>
      </c>
      <c r="G3" s="2">
        <v>5</v>
      </c>
      <c r="H3" s="2">
        <v>4</v>
      </c>
      <c r="I3" s="2">
        <v>3</v>
      </c>
      <c r="J3" s="2">
        <v>2</v>
      </c>
      <c r="M3" s="7" t="s">
        <v>9</v>
      </c>
      <c r="N3" s="2">
        <f>MOD(N2,11)</f>
        <v>4</v>
      </c>
      <c r="O3" t="str">
        <f>MID(SUBSTITUTE(SUBSTITUTE(SUBSTITUTE(SUBSTITUTE(Planilha1!C4,".",""),"-",""),"/","")," ",""),15,1)</f>
        <v/>
      </c>
    </row>
    <row r="4" spans="1:17">
      <c r="A4" s="4" t="s">
        <v>10</v>
      </c>
      <c r="B4" s="5">
        <f>B2*B3</f>
        <v>50</v>
      </c>
      <c r="C4" s="5">
        <f>C2*C3</f>
        <v>45</v>
      </c>
      <c r="D4" s="5">
        <f>D2*D3</f>
        <v>48</v>
      </c>
      <c r="E4" s="5">
        <f>E2*E3</f>
        <v>14</v>
      </c>
      <c r="F4" s="5">
        <f>F2*F3</f>
        <v>6</v>
      </c>
      <c r="G4" s="5">
        <f t="shared" ref="G4:J4" si="0">G2*G3</f>
        <v>20</v>
      </c>
      <c r="H4" s="5">
        <f t="shared" si="0"/>
        <v>16</v>
      </c>
      <c r="I4" s="5">
        <f t="shared" si="0"/>
        <v>9</v>
      </c>
      <c r="J4" s="5">
        <f t="shared" si="0"/>
        <v>16</v>
      </c>
      <c r="M4" s="7" t="s">
        <v>11</v>
      </c>
      <c r="N4" s="2">
        <f>IF((11-N3)&lt;=9,11-N3,0)</f>
        <v>7</v>
      </c>
    </row>
    <row r="7" spans="1:17">
      <c r="M7" s="20" t="s">
        <v>12</v>
      </c>
      <c r="N7" s="20"/>
    </row>
    <row r="8" spans="1:17">
      <c r="A8" s="14" t="s">
        <v>7</v>
      </c>
      <c r="B8" s="12" t="str">
        <f>MID(SUBSTITUTE(SUBSTITUTE(SUBSTITUTE(SUBSTITUTE(Planilha1!C3,".",""),"-",""),"/","")," ",""),1,1)</f>
        <v>5</v>
      </c>
      <c r="C8" s="13" t="str">
        <f>MID(SUBSTITUTE(SUBSTITUTE(SUBSTITUTE(SUBSTITUTE(Planilha1!C3,".",""),"-",""),"/","")," ",""),2,1)</f>
        <v>5</v>
      </c>
      <c r="D8" s="13" t="str">
        <f>MID(SUBSTITUTE(SUBSTITUTE(SUBSTITUTE(SUBSTITUTE(Planilha1!C3,".",""),"-",""),"/","")," ",""),3,1)</f>
        <v>6</v>
      </c>
      <c r="E8" s="12" t="str">
        <f>MID(SUBSTITUTE(SUBSTITUTE(SUBSTITUTE(SUBSTITUTE(Planilha1!C3,".",""),"-",""),"/","")," ",""),4,1)</f>
        <v>2</v>
      </c>
      <c r="F8" s="12" t="str">
        <f>MID(SUBSTITUTE(SUBSTITUTE(SUBSTITUTE(SUBSTITUTE(Planilha1!C3,".",""),"-",""),"/","")," ",""),5,1)</f>
        <v>1</v>
      </c>
      <c r="G8" s="12" t="str">
        <f>MID(SUBSTITUTE(SUBSTITUTE(SUBSTITUTE(SUBSTITUTE(Planilha1!C3,".",""),"-",""),"/","")," ",""),6,1)</f>
        <v>4</v>
      </c>
      <c r="H8" s="12" t="str">
        <f>MID(SUBSTITUTE(SUBSTITUTE(SUBSTITUTE(SUBSTITUTE(Planilha1!C3,".",""),"-",""),"/","")," ",""),7,1)</f>
        <v>4</v>
      </c>
      <c r="I8" s="12" t="str">
        <f>MID(SUBSTITUTE(SUBSTITUTE(SUBSTITUTE(SUBSTITUTE(Planilha1!C3,".",""),"-",""),"/","")," ",""),8,1)</f>
        <v>3</v>
      </c>
      <c r="J8" s="12" t="str">
        <f>MID(SUBSTITUTE(SUBSTITUTE(SUBSTITUTE(SUBSTITUTE(Planilha1!C3,".",""),"-",""),"/","")," ",""),9,1)</f>
        <v>8</v>
      </c>
      <c r="K8" s="12" t="str">
        <f>MID(SUBSTITUTE(SUBSTITUTE(SUBSTITUTE(SUBSTITUTE(Planilha1!C3,".",""),"-",""),"/","")," ",""),10,1)</f>
        <v>7</v>
      </c>
      <c r="M8" s="6" t="s">
        <v>8</v>
      </c>
      <c r="N8" s="5">
        <f>SUM(B10:K10)</f>
        <v>276</v>
      </c>
    </row>
    <row r="9" spans="1:17">
      <c r="A9" s="3" t="s">
        <v>5</v>
      </c>
      <c r="B9" s="2">
        <v>11</v>
      </c>
      <c r="C9" s="2">
        <v>10</v>
      </c>
      <c r="D9" s="2">
        <v>9</v>
      </c>
      <c r="E9" s="2">
        <v>8</v>
      </c>
      <c r="F9" s="2">
        <v>7</v>
      </c>
      <c r="G9" s="2">
        <v>6</v>
      </c>
      <c r="H9" s="2">
        <v>5</v>
      </c>
      <c r="I9" s="2">
        <v>4</v>
      </c>
      <c r="J9" s="2">
        <v>3</v>
      </c>
      <c r="K9" s="2">
        <v>2</v>
      </c>
      <c r="M9" s="7" t="s">
        <v>9</v>
      </c>
      <c r="N9" s="2">
        <f>MOD(N8,11)</f>
        <v>1</v>
      </c>
    </row>
    <row r="10" spans="1:17">
      <c r="A10" s="4" t="s">
        <v>10</v>
      </c>
      <c r="B10" s="5">
        <f>B8*B9</f>
        <v>55</v>
      </c>
      <c r="C10" s="5">
        <f t="shared" ref="C10:K10" si="1">C8*C9</f>
        <v>50</v>
      </c>
      <c r="D10" s="5">
        <f t="shared" si="1"/>
        <v>54</v>
      </c>
      <c r="E10" s="5">
        <f t="shared" si="1"/>
        <v>16</v>
      </c>
      <c r="F10" s="5">
        <f t="shared" si="1"/>
        <v>7</v>
      </c>
      <c r="G10" s="5">
        <f t="shared" si="1"/>
        <v>24</v>
      </c>
      <c r="H10" s="5">
        <f t="shared" si="1"/>
        <v>20</v>
      </c>
      <c r="I10" s="5">
        <f t="shared" si="1"/>
        <v>12</v>
      </c>
      <c r="J10" s="5">
        <f t="shared" si="1"/>
        <v>24</v>
      </c>
      <c r="K10" s="5">
        <f t="shared" si="1"/>
        <v>14</v>
      </c>
      <c r="M10" s="7" t="s">
        <v>13</v>
      </c>
      <c r="N10" s="2">
        <f>IF((11-N9)&lt;=9,11-N9,0)</f>
        <v>0</v>
      </c>
    </row>
    <row r="11" spans="1:17">
      <c r="L11" s="1"/>
      <c r="M11" s="1"/>
    </row>
    <row r="12" spans="1:17">
      <c r="L12" s="1"/>
      <c r="M12" s="1"/>
    </row>
    <row r="13" spans="1:17">
      <c r="L13" s="1"/>
      <c r="M13" s="1"/>
    </row>
    <row r="14" spans="1:17">
      <c r="A14" s="22" t="s">
        <v>14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7">
      <c r="A15" s="15" t="s">
        <v>15</v>
      </c>
      <c r="B15" s="12" t="str">
        <f>MID(SUBSTITUTE(SUBSTITUTE(SUBSTITUTE(SUBSTITUTE(Planilha1!C4,".",""),"-",""),"/","")," ",""),1,1)</f>
        <v>4</v>
      </c>
      <c r="C15" s="12" t="str">
        <f>MID(SUBSTITUTE(SUBSTITUTE(SUBSTITUTE(SUBSTITUTE(Planilha1!C4,".",""),"-",""),"/","")," ",""),2,1)</f>
        <v>0</v>
      </c>
      <c r="D15" s="13" t="str">
        <f>MID(SUBSTITUTE(SUBSTITUTE(SUBSTITUTE(SUBSTITUTE(Planilha1!C4,".",""),"-",""),"/","")," ",""),3,1)</f>
        <v>4</v>
      </c>
      <c r="E15" s="13" t="str">
        <f>MID(SUBSTITUTE(SUBSTITUTE(SUBSTITUTE(SUBSTITUTE(Planilha1!C4,".",""),"-",""),"/","")," ",""),4,1)</f>
        <v>3</v>
      </c>
      <c r="F15" s="12" t="str">
        <f>MID(SUBSTITUTE(SUBSTITUTE(SUBSTITUTE(SUBSTITUTE(Planilha1!C4,".",""),"-",""),"/","")," ",""),5,1)</f>
        <v>2</v>
      </c>
      <c r="G15" s="12" t="str">
        <f>MID(SUBSTITUTE(SUBSTITUTE(SUBSTITUTE(SUBSTITUTE(Planilha1!C4,".",""),"-",""),"/","")," ",""),6,1)</f>
        <v>5</v>
      </c>
      <c r="H15" s="12" t="str">
        <f>MID(SUBSTITUTE(SUBSTITUTE(SUBSTITUTE(SUBSTITUTE(Planilha1!C4,".",""),"-",""),"/","")," ",""),7,1)</f>
        <v>4</v>
      </c>
      <c r="I15" s="12" t="str">
        <f>MID(SUBSTITUTE(SUBSTITUTE(SUBSTITUTE(SUBSTITUTE(Planilha1!C4,".",""),"-",""),"/","")," ",""),8,1)</f>
        <v>4</v>
      </c>
      <c r="J15" s="12" t="str">
        <f>MID(SUBSTITUTE(SUBSTITUTE(SUBSTITUTE(SUBSTITUTE(Planilha1!C4,".",""),"-",""),"/","")," ",""),9,1)</f>
        <v>0</v>
      </c>
      <c r="K15" s="12" t="str">
        <f>MID(SUBSTITUTE(SUBSTITUTE(SUBSTITUTE(SUBSTITUTE(Planilha1!C4,".",""),"-",""),"/","")," ",""),10,1)</f>
        <v>0</v>
      </c>
      <c r="L15" s="12" t="str">
        <f>MID(SUBSTITUTE(SUBSTITUTE(SUBSTITUTE(SUBSTITUTE(Planilha1!C4,".",""),"-",""),"/","")," ",""),11,1)</f>
        <v>0</v>
      </c>
      <c r="M15" s="12" t="str">
        <f>MID(SUBSTITUTE(SUBSTITUTE(SUBSTITUTE(SUBSTITUTE(Planilha1!C4,".",""),"-",""),"/","")," ",""),12,1)</f>
        <v>1</v>
      </c>
      <c r="P15" s="20" t="s">
        <v>6</v>
      </c>
      <c r="Q15" s="20"/>
    </row>
    <row r="16" spans="1:17">
      <c r="A16" s="7" t="s">
        <v>14</v>
      </c>
      <c r="B16" s="2">
        <v>5</v>
      </c>
      <c r="C16" s="2">
        <v>4</v>
      </c>
      <c r="D16" s="2">
        <v>3</v>
      </c>
      <c r="E16" s="2">
        <v>2</v>
      </c>
      <c r="F16" s="2">
        <v>9</v>
      </c>
      <c r="G16" s="2">
        <v>8</v>
      </c>
      <c r="H16" s="2">
        <v>7</v>
      </c>
      <c r="I16" s="2">
        <v>6</v>
      </c>
      <c r="J16" s="2">
        <v>5</v>
      </c>
      <c r="K16" s="2">
        <v>4</v>
      </c>
      <c r="L16" s="2">
        <v>3</v>
      </c>
      <c r="M16" s="2">
        <v>2</v>
      </c>
      <c r="P16" s="16" t="s">
        <v>8</v>
      </c>
      <c r="Q16" s="16">
        <f>SUM(B17:M17)</f>
        <v>150</v>
      </c>
    </row>
    <row r="17" spans="1:17">
      <c r="A17" s="16" t="s">
        <v>10</v>
      </c>
      <c r="B17" s="17">
        <f>B15*B16</f>
        <v>20</v>
      </c>
      <c r="C17" s="17">
        <f t="shared" ref="C17:M17" si="2">C15*C16</f>
        <v>0</v>
      </c>
      <c r="D17" s="17">
        <f t="shared" si="2"/>
        <v>12</v>
      </c>
      <c r="E17" s="17">
        <f t="shared" si="2"/>
        <v>6</v>
      </c>
      <c r="F17" s="17">
        <f t="shared" si="2"/>
        <v>18</v>
      </c>
      <c r="G17" s="17">
        <f t="shared" si="2"/>
        <v>40</v>
      </c>
      <c r="H17" s="17">
        <f t="shared" si="2"/>
        <v>28</v>
      </c>
      <c r="I17" s="17">
        <f t="shared" si="2"/>
        <v>24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>M15*M16</f>
        <v>2</v>
      </c>
      <c r="P17" s="7" t="s">
        <v>16</v>
      </c>
      <c r="Q17" s="7">
        <f>MOD(Q16,11)</f>
        <v>7</v>
      </c>
    </row>
    <row r="18" spans="1:17">
      <c r="P18" s="7" t="s">
        <v>17</v>
      </c>
      <c r="Q18" s="7">
        <f>IF(Q17&lt;2,0,11-Q17)</f>
        <v>4</v>
      </c>
    </row>
    <row r="20" spans="1:17">
      <c r="A20" s="15" t="s">
        <v>15</v>
      </c>
      <c r="B20" s="12" t="str">
        <f>MID(SUBSTITUTE(SUBSTITUTE(SUBSTITUTE(SUBSTITUTE(Planilha1!C4,".",""),"-",""),"/","")," ",""),1,1)</f>
        <v>4</v>
      </c>
      <c r="C20" s="12" t="str">
        <f>MID(SUBSTITUTE(SUBSTITUTE(SUBSTITUTE(SUBSTITUTE(Planilha1!C4,".",""),"-",""),"/","")," ",""),2,1)</f>
        <v>0</v>
      </c>
      <c r="D20" s="13" t="str">
        <f>MID(SUBSTITUTE(SUBSTITUTE(SUBSTITUTE(SUBSTITUTE(Planilha1!C4,".",""),"-",""),"/","")," ",""),3,1)</f>
        <v>4</v>
      </c>
      <c r="E20" s="13" t="str">
        <f>MID(SUBSTITUTE(SUBSTITUTE(SUBSTITUTE(SUBSTITUTE(Planilha1!C4,".",""),"-",""),"/","")," ",""),4,1)</f>
        <v>3</v>
      </c>
      <c r="F20" s="12" t="str">
        <f>MID(SUBSTITUTE(SUBSTITUTE(SUBSTITUTE(SUBSTITUTE(Planilha1!C4,".",""),"-",""),"/","")," ",""),5,1)</f>
        <v>2</v>
      </c>
      <c r="G20" s="12" t="str">
        <f>MID(SUBSTITUTE(SUBSTITUTE(SUBSTITUTE(SUBSTITUTE(Planilha1!C4,".",""),"-",""),"/","")," ",""),6,1)</f>
        <v>5</v>
      </c>
      <c r="H20" s="12" t="str">
        <f>MID(SUBSTITUTE(SUBSTITUTE(SUBSTITUTE(SUBSTITUTE(Planilha1!C4,".",""),"-",""),"/","")," ",""),7,1)</f>
        <v>4</v>
      </c>
      <c r="I20" s="12" t="str">
        <f>MID(SUBSTITUTE(SUBSTITUTE(SUBSTITUTE(SUBSTITUTE(Planilha1!C4,".",""),"-",""),"/","")," ",""),8,1)</f>
        <v>4</v>
      </c>
      <c r="J20" s="12" t="str">
        <f>MID(SUBSTITUTE(SUBSTITUTE(SUBSTITUTE(SUBSTITUTE(Planilha1!C4,".",""),"-",""),"/","")," ",""),9,1)</f>
        <v>0</v>
      </c>
      <c r="K20" s="12" t="str">
        <f>MID(SUBSTITUTE(SUBSTITUTE(SUBSTITUTE(SUBSTITUTE(Planilha1!C4,".",""),"-",""),"/","")," ",""),10,1)</f>
        <v>0</v>
      </c>
      <c r="L20" s="12" t="str">
        <f>MID(SUBSTITUTE(SUBSTITUTE(SUBSTITUTE(SUBSTITUTE(Planilha1!C4,".",""),"-",""),"/","")," ",""),11,1)</f>
        <v>0</v>
      </c>
      <c r="M20" s="12" t="str">
        <f>MID(SUBSTITUTE(SUBSTITUTE(SUBSTITUTE(SUBSTITUTE(Planilha1!C4,".",""),"-",""),"/","")," ",""),12,1)</f>
        <v>1</v>
      </c>
      <c r="N20" s="12" t="str">
        <f>MID(SUBSTITUTE(SUBSTITUTE(SUBSTITUTE(SUBSTITUTE(Planilha1!C4,".",""),"-",""),"/","")," ",""),1,1)</f>
        <v>4</v>
      </c>
      <c r="P20" s="21" t="s">
        <v>12</v>
      </c>
      <c r="Q20" s="21"/>
    </row>
    <row r="21" spans="1:17">
      <c r="A21" s="7" t="s">
        <v>14</v>
      </c>
      <c r="B21" s="2">
        <v>6</v>
      </c>
      <c r="C21" s="2">
        <v>5</v>
      </c>
      <c r="D21" s="2">
        <v>4</v>
      </c>
      <c r="E21" s="2">
        <v>3</v>
      </c>
      <c r="F21" s="2">
        <v>2</v>
      </c>
      <c r="G21" s="2">
        <v>9</v>
      </c>
      <c r="H21" s="2">
        <v>8</v>
      </c>
      <c r="I21" s="2">
        <v>7</v>
      </c>
      <c r="J21" s="2">
        <v>6</v>
      </c>
      <c r="K21" s="2">
        <v>5</v>
      </c>
      <c r="L21" s="2">
        <v>4</v>
      </c>
      <c r="M21" s="2">
        <v>3</v>
      </c>
      <c r="N21" s="2">
        <v>2</v>
      </c>
      <c r="P21" s="16" t="s">
        <v>8</v>
      </c>
      <c r="Q21" s="16">
        <f>SUM(B22:N22)</f>
        <v>169</v>
      </c>
    </row>
    <row r="22" spans="1:17">
      <c r="A22" s="16" t="s">
        <v>10</v>
      </c>
      <c r="B22" s="17">
        <f>B20*B21</f>
        <v>24</v>
      </c>
      <c r="C22" s="17">
        <f t="shared" ref="C22:N22" si="3">C20*C21</f>
        <v>0</v>
      </c>
      <c r="D22" s="17">
        <f t="shared" si="3"/>
        <v>16</v>
      </c>
      <c r="E22" s="17">
        <f t="shared" si="3"/>
        <v>9</v>
      </c>
      <c r="F22" s="17">
        <f t="shared" si="3"/>
        <v>4</v>
      </c>
      <c r="G22" s="17">
        <f t="shared" si="3"/>
        <v>45</v>
      </c>
      <c r="H22" s="17">
        <f t="shared" si="3"/>
        <v>32</v>
      </c>
      <c r="I22" s="17">
        <f t="shared" si="3"/>
        <v>28</v>
      </c>
      <c r="J22" s="17">
        <f t="shared" si="3"/>
        <v>0</v>
      </c>
      <c r="K22" s="17">
        <f t="shared" si="3"/>
        <v>0</v>
      </c>
      <c r="L22" s="17">
        <f t="shared" si="3"/>
        <v>0</v>
      </c>
      <c r="M22" s="17">
        <f t="shared" si="3"/>
        <v>3</v>
      </c>
      <c r="N22" s="17">
        <f t="shared" si="3"/>
        <v>8</v>
      </c>
      <c r="P22" s="7" t="s">
        <v>16</v>
      </c>
      <c r="Q22" s="7">
        <f>MOD(Q21,11)</f>
        <v>4</v>
      </c>
    </row>
    <row r="23" spans="1:17">
      <c r="P23" s="7" t="s">
        <v>17</v>
      </c>
      <c r="Q23" s="7">
        <f>IF(Q22&lt;2,0,11-Q22)</f>
        <v>7</v>
      </c>
    </row>
    <row r="26" spans="1:17">
      <c r="B26" s="19" t="s">
        <v>4</v>
      </c>
      <c r="C26" s="19"/>
      <c r="D26" s="19"/>
      <c r="E26" s="19"/>
    </row>
  </sheetData>
  <mergeCells count="7">
    <mergeCell ref="P15:Q15"/>
    <mergeCell ref="P20:Q20"/>
    <mergeCell ref="A14:M14"/>
    <mergeCell ref="B26:E26"/>
    <mergeCell ref="A1:J1"/>
    <mergeCell ref="M1:N1"/>
    <mergeCell ref="M7:N7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CAROLINA DE OLIVEIRA LAMANN</dc:creator>
  <cp:keywords/>
  <dc:description/>
  <cp:lastModifiedBy>ANA CAROLINA DE OLIVEIRA LAMANN</cp:lastModifiedBy>
  <cp:revision/>
  <dcterms:created xsi:type="dcterms:W3CDTF">2025-10-12T14:37:53Z</dcterms:created>
  <dcterms:modified xsi:type="dcterms:W3CDTF">2025-10-13T20:01:26Z</dcterms:modified>
  <cp:category/>
  <cp:contentStatus/>
</cp:coreProperties>
</file>